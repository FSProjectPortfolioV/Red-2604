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FSU\dev5\"/>
    </mc:Choice>
  </mc:AlternateContent>
  <xr:revisionPtr revIDLastSave="0" documentId="13_ncr:1_{F42A0A0A-3B72-4758-9FE8-FA4066660F08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<sst xmlns="http://schemas.openxmlformats.org/spreadsheetml/2006/main" count="169" uniqueCount="107">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</sst>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zoomScale="115" zoomScaleNormal="115" workbookViewId="0">
      <selection activeCell="E6" sqref="E6"/>
    </sheetView>
  </sheetViews>
  <sheetFormatPr defaultRowHeight="14.4" x14ac:dyDescent="0.3"/>
  <cols>
    <col min="1" max="3" width="50.6640625" customWidth="1"/>
  </cols>
  <sheetData>
    <row r="1" spans="1:3" ht="19.8" x14ac:dyDescent="0.4">
      <c r="A1" s="19" t="s">
        <v>0</v>
      </c>
      <c r="B1" s="19" t="s">
        <v>1</v>
      </c>
      <c r="C1" s="20" t="s">
        <v>2</v>
      </c>
    </row>
    <row r="2" spans="1:3" x14ac:dyDescent="0.3">
      <c r="A2" s="29" t="s">
        <v>95</v>
      </c>
      <c r="B2" s="28" t="s">
        <v>101</v>
      </c>
      <c r="C2" s="21" t="s">
        <v>96</v>
      </c>
    </row>
    <row r="3" spans="1:3" x14ac:dyDescent="0.3">
      <c r="C3" s="13" t="s">
        <v>97</v>
      </c>
    </row>
    <row r="4" spans="1:3" x14ac:dyDescent="0.3">
      <c r="C4" s="13" t="s">
        <v>98</v>
      </c>
    </row>
    <row r="5" spans="1:3" x14ac:dyDescent="0.3">
      <c r="C5" s="13" t="s">
        <v>99</v>
      </c>
    </row>
    <row r="6" spans="1:3" x14ac:dyDescent="0.3">
      <c r="C6" s="13" t="s">
        <v>100</v>
      </c>
    </row>
    <row r="7" spans="1:3" x14ac:dyDescent="0.3">
      <c r="C7" s="24"/>
    </row>
    <row r="8" spans="1:3" x14ac:dyDescent="0.3">
      <c r="C8" s="23"/>
    </row>
    <row r="9" spans="1:3" ht="17.399999999999999" x14ac:dyDescent="0.35">
      <c r="A9" s="17" t="s">
        <v>3</v>
      </c>
      <c r="B9" s="17" t="s">
        <v>27</v>
      </c>
      <c r="C9" s="22" t="s">
        <v>4</v>
      </c>
    </row>
    <row r="10" spans="1:3" x14ac:dyDescent="0.3">
      <c r="A10" s="18">
        <v>2851</v>
      </c>
      <c r="B10" s="16" t="s">
        <v>92</v>
      </c>
      <c r="C10" s="14" t="s">
        <v>103</v>
      </c>
    </row>
    <row r="11" spans="1:3" x14ac:dyDescent="0.3">
      <c r="C11" s="1" t="s">
        <v>104</v>
      </c>
    </row>
    <row r="12" spans="1:3" x14ac:dyDescent="0.3">
      <c r="C12" s="1" t="s">
        <v>105</v>
      </c>
    </row>
    <row r="13" spans="1:3" x14ac:dyDescent="0.3">
      <c r="C13" s="1" t="s">
        <v>106</v>
      </c>
    </row>
    <row r="14" spans="1:3" x14ac:dyDescent="0.3">
      <c r="C14" s="1"/>
    </row>
    <row r="15" spans="1:3" x14ac:dyDescent="0.3">
      <c r="C15" s="1"/>
    </row>
    <row r="17" spans="1:3" ht="17.399999999999999" x14ac:dyDescent="0.35">
      <c r="A17" s="17" t="s">
        <v>5</v>
      </c>
      <c r="B17" s="17" t="s">
        <v>6</v>
      </c>
      <c r="C17" s="15" t="s">
        <v>7</v>
      </c>
    </row>
    <row r="18" spans="1:3" x14ac:dyDescent="0.3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abSelected="1" zoomScaleNormal="100" workbookViewId="0">
      <selection activeCell="S25" sqref="S25"/>
    </sheetView>
  </sheetViews>
  <sheetFormatPr defaultRowHeight="14.4" x14ac:dyDescent="0.3"/>
  <cols>
    <col min="1" max="1" width="83.44140625" customWidth="1"/>
    <col min="2" max="3" width="18.6640625" bestFit="1" customWidth="1"/>
    <col min="4" max="4" width="9.109375" customWidth="1"/>
    <col min="5" max="7" width="9.109375" hidden="1" customWidth="1"/>
    <col min="11" max="13" width="9.109375" customWidth="1"/>
  </cols>
  <sheetData>
    <row r="1" spans="1:7" ht="23.4" x14ac:dyDescent="0.45">
      <c r="A1" s="30" t="s">
        <v>34</v>
      </c>
      <c r="B1" s="31" t="s">
        <v>35</v>
      </c>
      <c r="C1" s="31" t="s">
        <v>38</v>
      </c>
    </row>
    <row r="2" spans="1:7" x14ac:dyDescent="0.3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">
      <c r="A3" s="12" t="s">
        <v>69</v>
      </c>
      <c r="B3" s="10" t="s">
        <v>8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">
      <c r="A4" s="12" t="s">
        <v>72</v>
      </c>
      <c r="B4" s="10" t="s">
        <v>8</v>
      </c>
      <c r="C4" s="4">
        <v>2</v>
      </c>
      <c r="E4" s="7" t="s">
        <v>9</v>
      </c>
      <c r="F4" s="6" t="s">
        <v>15</v>
      </c>
    </row>
    <row r="5" spans="1:7" x14ac:dyDescent="0.3">
      <c r="A5" s="12" t="s">
        <v>73</v>
      </c>
      <c r="B5" s="10" t="s">
        <v>9</v>
      </c>
      <c r="C5" s="4">
        <v>2</v>
      </c>
    </row>
    <row r="6" spans="1:7" x14ac:dyDescent="0.3">
      <c r="A6" s="12" t="s">
        <v>80</v>
      </c>
      <c r="B6" s="10" t="s">
        <v>9</v>
      </c>
      <c r="C6" s="4">
        <v>2</v>
      </c>
    </row>
    <row r="7" spans="1:7" x14ac:dyDescent="0.3">
      <c r="A7" s="34" t="s">
        <v>83</v>
      </c>
      <c r="B7" s="34"/>
      <c r="C7" s="33"/>
    </row>
    <row r="8" spans="1:7" x14ac:dyDescent="0.3">
      <c r="A8" s="12" t="s">
        <v>68</v>
      </c>
      <c r="B8" s="10" t="s">
        <v>8</v>
      </c>
      <c r="C8" s="4">
        <v>4</v>
      </c>
    </row>
    <row r="9" spans="1:7" x14ac:dyDescent="0.3">
      <c r="A9" s="12" t="s">
        <v>86</v>
      </c>
      <c r="B9" s="10" t="s">
        <v>8</v>
      </c>
      <c r="C9" s="4">
        <v>4</v>
      </c>
    </row>
    <row r="10" spans="1:7" x14ac:dyDescent="0.3">
      <c r="A10" s="12" t="s">
        <v>85</v>
      </c>
      <c r="B10" s="10" t="s">
        <v>8</v>
      </c>
      <c r="C10" s="4">
        <v>3</v>
      </c>
    </row>
    <row r="11" spans="1:7" x14ac:dyDescent="0.3">
      <c r="A11" s="12" t="s">
        <v>84</v>
      </c>
      <c r="B11" s="10" t="s">
        <v>8</v>
      </c>
      <c r="C11" s="4">
        <v>3</v>
      </c>
    </row>
    <row r="12" spans="1:7" x14ac:dyDescent="0.3">
      <c r="A12" s="12" t="s">
        <v>87</v>
      </c>
      <c r="B12" s="10" t="s">
        <v>10</v>
      </c>
      <c r="C12" s="4">
        <v>3</v>
      </c>
    </row>
    <row r="13" spans="1:7" x14ac:dyDescent="0.3">
      <c r="A13" s="12" t="s">
        <v>33</v>
      </c>
      <c r="B13" s="10" t="s">
        <v>8</v>
      </c>
      <c r="C13" s="4">
        <v>3</v>
      </c>
    </row>
    <row r="14" spans="1:7" x14ac:dyDescent="0.3">
      <c r="A14" s="12" t="s">
        <v>32</v>
      </c>
      <c r="B14" s="10" t="s">
        <v>8</v>
      </c>
      <c r="C14" s="4">
        <v>2</v>
      </c>
    </row>
    <row r="15" spans="1:7" x14ac:dyDescent="0.3">
      <c r="A15" s="12" t="s">
        <v>25</v>
      </c>
      <c r="B15" s="10" t="s">
        <v>10</v>
      </c>
      <c r="C15" s="4">
        <v>2</v>
      </c>
    </row>
    <row r="16" spans="1:7" x14ac:dyDescent="0.3">
      <c r="A16" s="34" t="s">
        <v>42</v>
      </c>
      <c r="B16" s="34"/>
      <c r="C16" s="33"/>
    </row>
    <row r="17" spans="1:3" x14ac:dyDescent="0.3">
      <c r="A17" s="12" t="s">
        <v>81</v>
      </c>
      <c r="B17" s="10" t="s">
        <v>10</v>
      </c>
      <c r="C17" s="4">
        <v>5</v>
      </c>
    </row>
    <row r="18" spans="1:3" x14ac:dyDescent="0.3">
      <c r="A18" s="12" t="s">
        <v>47</v>
      </c>
      <c r="B18" s="10" t="s">
        <v>8</v>
      </c>
      <c r="C18" s="4">
        <v>4</v>
      </c>
    </row>
    <row r="19" spans="1:3" x14ac:dyDescent="0.3">
      <c r="A19" s="12" t="s">
        <v>48</v>
      </c>
      <c r="B19" s="10" t="s">
        <v>8</v>
      </c>
      <c r="C19" s="4">
        <v>4</v>
      </c>
    </row>
    <row r="20" spans="1:3" x14ac:dyDescent="0.3">
      <c r="A20" s="12" t="s">
        <v>91</v>
      </c>
      <c r="B20" s="10" t="s">
        <v>8</v>
      </c>
      <c r="C20" s="4">
        <v>4</v>
      </c>
    </row>
    <row r="21" spans="1:3" x14ac:dyDescent="0.3">
      <c r="A21" s="12" t="s">
        <v>90</v>
      </c>
      <c r="B21" s="10" t="s">
        <v>10</v>
      </c>
      <c r="C21" s="4">
        <v>4</v>
      </c>
    </row>
    <row r="22" spans="1:3" x14ac:dyDescent="0.3">
      <c r="A22" s="12" t="s">
        <v>43</v>
      </c>
      <c r="B22" s="10" t="s">
        <v>8</v>
      </c>
      <c r="C22" s="4">
        <v>4</v>
      </c>
    </row>
    <row r="23" spans="1:3" x14ac:dyDescent="0.3">
      <c r="A23" s="12" t="s">
        <v>45</v>
      </c>
      <c r="B23" s="10" t="s">
        <v>8</v>
      </c>
      <c r="C23" s="4">
        <v>4</v>
      </c>
    </row>
    <row r="24" spans="1:3" x14ac:dyDescent="0.3">
      <c r="A24" s="12" t="s">
        <v>40</v>
      </c>
      <c r="B24" s="10" t="s">
        <v>9</v>
      </c>
      <c r="C24" s="4">
        <v>3</v>
      </c>
    </row>
    <row r="25" spans="1:3" x14ac:dyDescent="0.3">
      <c r="A25" s="12" t="s">
        <v>41</v>
      </c>
      <c r="B25" s="10" t="s">
        <v>10</v>
      </c>
      <c r="C25" s="4">
        <v>3</v>
      </c>
    </row>
    <row r="26" spans="1:3" x14ac:dyDescent="0.3">
      <c r="A26" s="12" t="s">
        <v>44</v>
      </c>
      <c r="B26" s="10" t="s">
        <v>10</v>
      </c>
      <c r="C26" s="4">
        <v>3</v>
      </c>
    </row>
    <row r="27" spans="1:3" x14ac:dyDescent="0.3">
      <c r="A27" s="12" t="s">
        <v>46</v>
      </c>
      <c r="B27" s="10" t="s">
        <v>10</v>
      </c>
      <c r="C27" s="4">
        <v>3</v>
      </c>
    </row>
    <row r="28" spans="1:3" x14ac:dyDescent="0.3">
      <c r="A28" s="12" t="s">
        <v>37</v>
      </c>
      <c r="B28" s="10" t="s">
        <v>8</v>
      </c>
      <c r="C28" s="4">
        <v>3</v>
      </c>
    </row>
    <row r="29" spans="1:3" x14ac:dyDescent="0.3">
      <c r="A29" s="12" t="s">
        <v>88</v>
      </c>
      <c r="B29" s="10" t="s">
        <v>8</v>
      </c>
      <c r="C29" s="4">
        <v>2</v>
      </c>
    </row>
    <row r="30" spans="1:3" x14ac:dyDescent="0.3">
      <c r="A30" s="34" t="s">
        <v>65</v>
      </c>
      <c r="B30" s="34"/>
      <c r="C30" s="33"/>
    </row>
    <row r="31" spans="1:3" x14ac:dyDescent="0.3">
      <c r="A31" s="12" t="s">
        <v>70</v>
      </c>
      <c r="B31" s="10" t="s">
        <v>8</v>
      </c>
      <c r="C31" s="4">
        <v>5</v>
      </c>
    </row>
    <row r="32" spans="1:3" x14ac:dyDescent="0.3">
      <c r="A32" s="12" t="s">
        <v>76</v>
      </c>
      <c r="B32" s="10" t="s">
        <v>9</v>
      </c>
      <c r="C32" s="4">
        <v>4</v>
      </c>
    </row>
    <row r="33" spans="1:3" x14ac:dyDescent="0.3">
      <c r="A33" s="12" t="s">
        <v>75</v>
      </c>
      <c r="B33" s="10" t="s">
        <v>9</v>
      </c>
      <c r="C33" s="4">
        <v>2</v>
      </c>
    </row>
    <row r="34" spans="1:3" x14ac:dyDescent="0.3">
      <c r="A34" s="34" t="s">
        <v>78</v>
      </c>
      <c r="B34" s="34"/>
      <c r="C34" s="33"/>
    </row>
    <row r="35" spans="1:3" x14ac:dyDescent="0.3">
      <c r="A35" s="12" t="s">
        <v>79</v>
      </c>
      <c r="B35" s="10" t="s">
        <v>9</v>
      </c>
      <c r="C35" s="4">
        <v>4</v>
      </c>
    </row>
    <row r="36" spans="1:3" x14ac:dyDescent="0.3">
      <c r="A36" s="12" t="s">
        <v>71</v>
      </c>
      <c r="B36" s="10" t="s">
        <v>8</v>
      </c>
      <c r="C36" s="4">
        <v>4</v>
      </c>
    </row>
    <row r="37" spans="1:3" ht="23.4" x14ac:dyDescent="0.45">
      <c r="A37" s="32" t="s">
        <v>39</v>
      </c>
      <c r="B37" s="32">
        <f>SUMPRODUCT(SUMIF($B$3:$B$36,$E$2,$C$3:$C$36))+SUMPRODUCT(SUMIF($B$3:$B$36,$E$3,$C$3:$C$36))*0.5</f>
        <v>71.5</v>
      </c>
      <c r="C37" s="47">
        <f>SUMPRODUCT(SUMIF($B$3:$B$37,$E$4,$C$3:$C$37))+SUMPRODUCT(SUMIF($B$3:$B$37,$E$3,$C$3:$C$37))*0.5</f>
        <v>28.5</v>
      </c>
    </row>
    <row r="38" spans="1:3" x14ac:dyDescent="0.3">
      <c r="A38" s="3"/>
      <c r="B38" s="2"/>
      <c r="C38" s="2"/>
    </row>
    <row r="39" spans="1:3" x14ac:dyDescent="0.3">
      <c r="B39" s="2"/>
      <c r="C39" s="2"/>
    </row>
    <row r="40" spans="1:3" ht="23.4" x14ac:dyDescent="0.45">
      <c r="A40" s="36" t="s">
        <v>49</v>
      </c>
      <c r="B40" s="37" t="s">
        <v>18</v>
      </c>
      <c r="C40" s="39" t="s">
        <v>50</v>
      </c>
    </row>
    <row r="41" spans="1:3" x14ac:dyDescent="0.3">
      <c r="A41" s="11" t="s">
        <v>26</v>
      </c>
      <c r="B41" s="10" t="s">
        <v>15</v>
      </c>
      <c r="C41" s="8">
        <v>2</v>
      </c>
    </row>
    <row r="42" spans="1:3" x14ac:dyDescent="0.3">
      <c r="A42" s="11" t="s">
        <v>58</v>
      </c>
      <c r="B42" s="10" t="s">
        <v>15</v>
      </c>
      <c r="C42" s="8">
        <v>2</v>
      </c>
    </row>
    <row r="43" spans="1:3" x14ac:dyDescent="0.3">
      <c r="A43" s="11" t="s">
        <v>63</v>
      </c>
      <c r="B43" s="10" t="s">
        <v>15</v>
      </c>
      <c r="C43" s="8">
        <v>2</v>
      </c>
    </row>
    <row r="44" spans="1:3" x14ac:dyDescent="0.3">
      <c r="A44" s="11" t="s">
        <v>67</v>
      </c>
      <c r="B44" s="10" t="s">
        <v>15</v>
      </c>
      <c r="C44" s="8">
        <v>3</v>
      </c>
    </row>
    <row r="45" spans="1:3" x14ac:dyDescent="0.3">
      <c r="A45" s="11" t="s">
        <v>20</v>
      </c>
      <c r="B45" s="10" t="s">
        <v>15</v>
      </c>
      <c r="C45" s="8">
        <v>3</v>
      </c>
    </row>
    <row r="46" spans="1:3" x14ac:dyDescent="0.3">
      <c r="A46" s="11" t="s">
        <v>11</v>
      </c>
      <c r="B46" s="10" t="s">
        <v>15</v>
      </c>
      <c r="C46" s="8">
        <v>3</v>
      </c>
    </row>
    <row r="47" spans="1:3" ht="23.4" x14ac:dyDescent="0.45">
      <c r="A47" s="32" t="s">
        <v>61</v>
      </c>
      <c r="B47" s="32">
        <f>$B$37+SUMPRODUCT(SUMIF($B$41:$B$46,$F$2,$C$41:$C$46))+SUMPRODUCT(SUMIF($B$41:$B$46,$F$3,$C$41:$C$46))*0.5</f>
        <v>71.5</v>
      </c>
      <c r="C47" s="35">
        <f>SUMPRODUCT(SUMIF($B$41:$B$46,$K$3,$C$41:$C$46))</f>
        <v>0</v>
      </c>
    </row>
    <row r="50" spans="1:2" ht="23.4" x14ac:dyDescent="0.45">
      <c r="A50" s="36" t="s">
        <v>62</v>
      </c>
      <c r="B50" s="46"/>
    </row>
    <row r="51" spans="1:2" x14ac:dyDescent="0.3">
      <c r="A51" s="12" t="s">
        <v>28</v>
      </c>
      <c r="B51" s="10" t="s">
        <v>8</v>
      </c>
    </row>
    <row r="52" spans="1:2" x14ac:dyDescent="0.3">
      <c r="A52" s="12" t="s">
        <v>29</v>
      </c>
      <c r="B52" s="10" t="s">
        <v>8</v>
      </c>
    </row>
    <row r="53" spans="1:2" x14ac:dyDescent="0.3">
      <c r="A53" s="12" t="s">
        <v>36</v>
      </c>
      <c r="B53" s="10" t="s">
        <v>8</v>
      </c>
    </row>
    <row r="54" spans="1:2" x14ac:dyDescent="0.3">
      <c r="A54" s="12" t="s">
        <v>31</v>
      </c>
      <c r="B54" s="10" t="s">
        <v>8</v>
      </c>
    </row>
    <row r="55" spans="1:2" x14ac:dyDescent="0.3">
      <c r="A55" s="12" t="s">
        <v>89</v>
      </c>
      <c r="B55" s="10" t="s">
        <v>8</v>
      </c>
    </row>
    <row r="56" spans="1:2" x14ac:dyDescent="0.3">
      <c r="A56" s="12" t="s">
        <v>77</v>
      </c>
      <c r="B56" s="10" t="s">
        <v>8</v>
      </c>
    </row>
    <row r="57" spans="1:2" x14ac:dyDescent="0.3">
      <c r="A57" s="12" t="s">
        <v>82</v>
      </c>
      <c r="B57" s="10" t="s">
        <v>8</v>
      </c>
    </row>
    <row r="58" spans="1:2" x14ac:dyDescent="0.3">
      <c r="A58" s="12" t="s">
        <v>64</v>
      </c>
      <c r="B58" s="10" t="s">
        <v>8</v>
      </c>
    </row>
    <row r="59" spans="1:2" ht="23.4" x14ac:dyDescent="0.45">
      <c r="A59" s="32" t="s">
        <v>66</v>
      </c>
      <c r="B59" s="45">
        <f>IF(COUNTIF($B$51:$B$58,$G$3), 0, $B$47)</f>
        <v>71.5</v>
      </c>
    </row>
    <row r="62" spans="1:2" ht="23.4" x14ac:dyDescent="0.45">
      <c r="A62" s="36" t="s">
        <v>53</v>
      </c>
      <c r="B62" s="41" t="s">
        <v>18</v>
      </c>
    </row>
    <row r="63" spans="1:2" x14ac:dyDescent="0.3">
      <c r="A63" s="34" t="s">
        <v>51</v>
      </c>
      <c r="B63" s="42"/>
    </row>
    <row r="64" spans="1:2" x14ac:dyDescent="0.3">
      <c r="A64" s="11" t="s">
        <v>59</v>
      </c>
      <c r="B64" s="10" t="s">
        <v>15</v>
      </c>
    </row>
    <row r="65" spans="1:2" x14ac:dyDescent="0.3">
      <c r="A65" s="11" t="s">
        <v>13</v>
      </c>
      <c r="B65" s="10" t="s">
        <v>15</v>
      </c>
    </row>
    <row r="66" spans="1:2" x14ac:dyDescent="0.3">
      <c r="A66" s="11" t="s">
        <v>60</v>
      </c>
      <c r="B66" s="10" t="s">
        <v>15</v>
      </c>
    </row>
    <row r="67" spans="1:2" x14ac:dyDescent="0.3">
      <c r="A67" s="11" t="s">
        <v>30</v>
      </c>
      <c r="B67" s="10" t="s">
        <v>15</v>
      </c>
    </row>
    <row r="68" spans="1:2" x14ac:dyDescent="0.3">
      <c r="A68" s="34" t="s">
        <v>54</v>
      </c>
      <c r="B68" s="42"/>
    </row>
    <row r="69" spans="1:2" x14ac:dyDescent="0.3">
      <c r="A69" s="11" t="s">
        <v>55</v>
      </c>
      <c r="B69" s="10" t="s">
        <v>15</v>
      </c>
    </row>
    <row r="70" spans="1:2" x14ac:dyDescent="0.3">
      <c r="A70" s="11" t="s">
        <v>56</v>
      </c>
      <c r="B70" s="10" t="s">
        <v>15</v>
      </c>
    </row>
    <row r="71" spans="1:2" x14ac:dyDescent="0.3">
      <c r="A71" s="11" t="s">
        <v>19</v>
      </c>
      <c r="B71" s="10" t="s">
        <v>15</v>
      </c>
    </row>
    <row r="72" spans="1:2" x14ac:dyDescent="0.3">
      <c r="A72" s="34" t="s">
        <v>52</v>
      </c>
      <c r="B72" s="42"/>
    </row>
    <row r="73" spans="1:2" x14ac:dyDescent="0.3">
      <c r="A73" s="11" t="s">
        <v>12</v>
      </c>
      <c r="B73" s="10" t="s">
        <v>15</v>
      </c>
    </row>
    <row r="74" spans="1:2" x14ac:dyDescent="0.3">
      <c r="A74" s="11" t="s">
        <v>17</v>
      </c>
      <c r="B74" s="10" t="s">
        <v>15</v>
      </c>
    </row>
    <row r="75" spans="1:2" x14ac:dyDescent="0.3">
      <c r="A75" s="11" t="s">
        <v>16</v>
      </c>
      <c r="B75" s="10" t="s">
        <v>15</v>
      </c>
    </row>
    <row r="76" spans="1:2" x14ac:dyDescent="0.3">
      <c r="A76" s="11" t="s">
        <v>57</v>
      </c>
      <c r="B76" s="10" t="s">
        <v>15</v>
      </c>
    </row>
    <row r="79" spans="1:2" ht="19.8" x14ac:dyDescent="0.4">
      <c r="A79" s="44" t="s">
        <v>21</v>
      </c>
      <c r="B79" s="43"/>
    </row>
    <row r="80" spans="1:2" x14ac:dyDescent="0.3">
      <c r="A80" s="40" t="s">
        <v>24</v>
      </c>
      <c r="B80" s="10" t="s">
        <v>15</v>
      </c>
    </row>
    <row r="81" spans="1:2" x14ac:dyDescent="0.3">
      <c r="A81" s="40" t="s">
        <v>23</v>
      </c>
      <c r="B81" s="10" t="s">
        <v>15</v>
      </c>
    </row>
    <row r="82" spans="1:2" x14ac:dyDescent="0.3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Jarret Olsen</cp:lastModifiedBy>
  <cp:revision/>
  <dcterms:created xsi:type="dcterms:W3CDTF">2015-06-05T18:17:20Z</dcterms:created>
  <dcterms:modified xsi:type="dcterms:W3CDTF">2026-04-30T05:27:04Z</dcterms:modified>
  <cp:category/>
  <cp:contentStatus/>
</cp:coreProperties>
</file>