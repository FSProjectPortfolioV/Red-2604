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FSU\dev5\"/>
    </mc:Choice>
  </mc:AlternateContent>
  <xr:revisionPtr revIDLastSave="0" documentId="13_ncr:1_{B6E57283-83D1-406D-8CF5-1274E8FA7DF7}" xr6:coauthVersionLast="47" xr6:coauthVersionMax="47" xr10:uidLastSave="{00000000-0000-0000-0000-000000000000}"/>
  <bookViews>
    <workbookView xWindow="7476" yWindow="2256" windowWidth="23040" windowHeight="13560" xr2:uid="{00000000-000D-0000-FFFF-FFFF00000000}"/>
  </bookViews>
  <sheets>
    <sheet name="Team Info" sheetId="1" r:id="rId1"/>
    <sheet name="Game Score Rating Rubric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4" l="1"/>
  <c r="B47" i="4" s="1"/>
  <c r="B59" i="4" s="1"/>
  <c r="C47" i="4"/>
  <c r="C3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Norri, Lari</author>
  </authors>
  <commentList>
    <comment ref="A1" authorId="0" shapeId="0" xr:uid="{BD57DF01-D2F0-4E9A-A555-51B9D7B45F1D}">
      <text>
        <r>
          <rPr>
            <sz val="11"/>
            <color theme="1"/>
            <rFont val="Calibri"/>
            <family val="2"/>
            <scheme val="minor"/>
          </rPr>
          <t xml:space="preserve">The game whose mechanics inspired your game is assumed to receive a 100% review score.
The mechanics/features of your game will be reviewed against the game that inspired your team.
Extra/enhanced mechanics will not be held against you but missing mechanics/features will harm your final score.
</t>
        </r>
      </text>
    </comment>
    <comment ref="B1" authorId="0" shapeId="0" xr:uid="{F86069B0-3241-4607-AE2C-8479CA5B1E78}">
      <text>
        <r>
          <rPr>
            <sz val="9"/>
            <color indexed="81"/>
            <rFont val="Tahoma"/>
            <family val="2"/>
          </rPr>
          <t>It’s a Problem == full deduction. Kinda Works == half deduction. Anything else == no deduction.</t>
        </r>
      </text>
    </comment>
    <comment ref="B37" authorId="0" shapeId="0" xr:uid="{A187D7DE-F2EE-4712-870A-69830F23430C}">
      <text>
        <r>
          <rPr>
            <sz val="11"/>
            <color theme="1"/>
            <rFont val="Calibri"/>
            <family val="2"/>
            <scheme val="minor"/>
          </rPr>
          <t xml:space="preserve">Review score is 100% - Any actual issues present in the list above.
Final Score is the review score + any Polish/Quality of Life features listed below. </t>
        </r>
      </text>
    </comment>
    <comment ref="C37" authorId="0" shapeId="0" xr:uid="{F915CD24-1B8F-4CE8-817B-113777E3073B}">
      <text>
        <r>
          <rPr>
            <sz val="9"/>
            <color indexed="81"/>
            <rFont val="Tahoma"/>
            <family val="2"/>
          </rPr>
          <t>Total deductions based on what is missing or broken in the game.</t>
        </r>
      </text>
    </comment>
    <comment ref="B59" authorId="0" shapeId="0" xr:uid="{85E04C9B-9AF2-407E-9859-EBB7D152AA46}">
      <text>
        <r>
          <rPr>
            <sz val="9"/>
            <color indexed="81"/>
            <rFont val="Tahoma"/>
            <family val="2"/>
          </rPr>
          <t>This is the final grade the team's participating members will receive for their game.</t>
        </r>
      </text>
    </comment>
  </commentList>
</comments>
</file>

<file path=xl/sharedStrings.xml><?xml version="1.0" encoding="utf-8"?>
<sst xmlns="http://schemas.openxmlformats.org/spreadsheetml/2006/main" count="165" uniqueCount="103">
  <si>
    <t>Team Code Name</t>
  </si>
  <si>
    <t>Internal Studio Name</t>
  </si>
  <si>
    <t>Team Members</t>
  </si>
  <si>
    <t>What do you call yourselves?</t>
  </si>
  <si>
    <t>Game Name</t>
  </si>
  <si>
    <t>Meeting Schedule</t>
  </si>
  <si>
    <t>Team Project Repository URL</t>
  </si>
  <si>
    <t>Jira Project URL</t>
  </si>
  <si>
    <t>Instructors Invited To Jira (Yes/No)</t>
  </si>
  <si>
    <t>Not Yet</t>
  </si>
  <si>
    <t>Not An Issue</t>
  </si>
  <si>
    <t>Its a Problem</t>
  </si>
  <si>
    <t>Kinda Works</t>
  </si>
  <si>
    <t>Game has a scrolling credits section accessible from the main menu.</t>
  </si>
  <si>
    <t>Game has real-time accurate 3D shadows.</t>
  </si>
  <si>
    <t>Game has dynamic lighting effects for weapons and explosions.</t>
  </si>
  <si>
    <t>Partially</t>
  </si>
  <si>
    <t>Not Supported</t>
  </si>
  <si>
    <t>Game has local split-screen multi-player support. (Multiple Game Controllers)</t>
  </si>
  <si>
    <t>Game has local shared-screen multiplayer. (Multiple Game Controllers)</t>
  </si>
  <si>
    <t>Supported</t>
  </si>
  <si>
    <t>Game supports menu difficulty modes that noticeably impact gameplay behaviors.</t>
  </si>
  <si>
    <t>Game has controller rumble effects driven by multiple gameplay events.</t>
  </si>
  <si>
    <t>Publishing The Game (Completely Optional)</t>
  </si>
  <si>
    <t>Game published to Steam (Not free, again watchout for copyright!)</t>
  </si>
  <si>
    <t>Game published on Itch.io (Don't upload anything infringing copyright!)</t>
  </si>
  <si>
    <t>Game published on Full Sail Discord for other students to try (Do not provide source!)</t>
  </si>
  <si>
    <t>The powerups don't seem to work in this game/some types are missing.</t>
  </si>
  <si>
    <t>Game has a Team and/or Studio name Logo on inital startup. (Should fade in/out)</t>
  </si>
  <si>
    <t>Game Mechanics Based On:</t>
  </si>
  <si>
    <t>The game is a blank screen (or fails to load content)</t>
  </si>
  <si>
    <t>The game crashes immediately, often enough that the software is unusable.</t>
  </si>
  <si>
    <t>Game supports 3D positional Audio.</t>
  </si>
  <si>
    <t>The game runs at an uplayable speed: too slow( &lt; 30fps ) or too fast.</t>
  </si>
  <si>
    <t>Expected methods to increase player score don't work.</t>
  </si>
  <si>
    <t>When player dies there is no clear indicator that it happened.</t>
  </si>
  <si>
    <t>Issue List</t>
  </si>
  <si>
    <t>Status</t>
  </si>
  <si>
    <t>This game is leaking memory, visibly increasing steadily in the taskmanager.</t>
  </si>
  <si>
    <t>Window size/aspect or screen resolution change distorts rendered display.</t>
  </si>
  <si>
    <t>Weight</t>
  </si>
  <si>
    <t>Project Score (Percentage):</t>
  </si>
  <si>
    <t>Sound effects are missing or don't play at the correct moment.</t>
  </si>
  <si>
    <t>Music is missing or doesn't play when expected.</t>
  </si>
  <si>
    <t>Gameplay</t>
  </si>
  <si>
    <t>Player can't win/progress to the next level.</t>
  </si>
  <si>
    <t>The game does not have a clear end condition.</t>
  </si>
  <si>
    <t>The game has less than 3 levels.</t>
  </si>
  <si>
    <t>The game can't be paused.</t>
  </si>
  <si>
    <t>Background or game level is not visible or no indication of a playable area.</t>
  </si>
  <si>
    <t>Playfield does not operate as expected (or elements are missing: i.e. minimap)</t>
  </si>
  <si>
    <t>Optional Extras (For Optional Points)</t>
  </si>
  <si>
    <t>Score</t>
  </si>
  <si>
    <t>Graphics/Audio</t>
  </si>
  <si>
    <t>Pipe Dream!</t>
  </si>
  <si>
    <t>Stretch Goals (For The Glory)</t>
  </si>
  <si>
    <t>Options</t>
  </si>
  <si>
    <t>Game has an menu where to change music and sound volume.</t>
  </si>
  <si>
    <t>Game has an menu to select different resolutions or toggle fullscreen.</t>
  </si>
  <si>
    <t>Game has networked multi-player support.</t>
  </si>
  <si>
    <t>Game has logo splash screen(s) for game tech stack (e.g. Gateware, Vulkan, EnTT)</t>
  </si>
  <si>
    <t>Game has post-processing effects such as bloom or screen-warp.</t>
  </si>
  <si>
    <t>Game has a dev/debug mode to render collision data as wireframe.</t>
  </si>
  <si>
    <t>Cumulative Score:</t>
  </si>
  <si>
    <t>Showstoppers</t>
  </si>
  <si>
    <t>Game supports anti-aliasing.</t>
  </si>
  <si>
    <t>Deliverable exceeds 100MB.</t>
  </si>
  <si>
    <t>Game Over</t>
  </si>
  <si>
    <t>Final Score:</t>
  </si>
  <si>
    <t>Game supports gamepad/controller for all features.</t>
  </si>
  <si>
    <t>There is no visible player avatar or gameplay state.</t>
  </si>
  <si>
    <t>Start screen/state not present.</t>
  </si>
  <si>
    <t>Game over screen/state not present.</t>
  </si>
  <si>
    <t>High scores are not saved between games/sessions.</t>
  </si>
  <si>
    <t>There is no clear method to start game.</t>
  </si>
  <si>
    <t>There is no clear method to view high scores.</t>
  </si>
  <si>
    <t>Start</t>
  </si>
  <si>
    <t>There is no clear method to return to the start screen.</t>
  </si>
  <si>
    <t>Game over state does not display high scores.</t>
  </si>
  <si>
    <t>Part or all of PP4 content remains.</t>
  </si>
  <si>
    <t>High Scores</t>
  </si>
  <si>
    <t>High scores screen/state not present.</t>
  </si>
  <si>
    <t>There is no clear method to quit game.</t>
  </si>
  <si>
    <t>Game is missing mechanic(s) from template game.</t>
  </si>
  <si>
    <t>Primary camera perspective is not 2.5D.</t>
  </si>
  <si>
    <t>Player/Opponents</t>
  </si>
  <si>
    <t>Player can't interact with opponents/objects.</t>
  </si>
  <si>
    <t>Cannot control player avatar/weapons.</t>
  </si>
  <si>
    <t>Player collisions do not work.</t>
  </si>
  <si>
    <t>Opponents don't behave as expected/some enemy types are missing.</t>
  </si>
  <si>
    <t>The game does not enter game over state when all lives are lost.</t>
  </si>
  <si>
    <t>The game is not a release build.</t>
  </si>
  <si>
    <t>The game doesn't display the current high score or lives.</t>
  </si>
  <si>
    <t>The game does not display player's score.</t>
  </si>
  <si>
    <t>1942 - https://www.youtube.com/watch?v=Em7UwOOBvlA</t>
  </si>
  <si>
    <t>https://github.com/FSProjectPortfolioV/Red-2604</t>
  </si>
  <si>
    <t>https://red-2604.atlassian.net/jira/software/projects/SCRUM/summary</t>
  </si>
  <si>
    <t>Team-Red</t>
  </si>
  <si>
    <t>Jarret Olsen</t>
  </si>
  <si>
    <t>Christopher Gold</t>
  </si>
  <si>
    <t>Myles Arrington</t>
  </si>
  <si>
    <t>Punam Magar</t>
  </si>
  <si>
    <t>Jaycob Singnoth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</si>
</sst>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5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4.9989318521683403E-2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3" applyNumberFormat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0" applyNumberFormat="0" applyFill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</cellStyleXfs>
  <cellXfs count="48">
    <xf numFmtId="0" fontId="0" fillId="0" borderId="0" xfId="0"/>
    <xf numFmtId="0" fontId="6" fillId="5" borderId="3" xfId="6"/>
    <xf numFmtId="0" fontId="0" fillId="0" borderId="0" xfId="0" applyAlignment="1">
      <alignment horizontal="center"/>
    </xf>
    <xf numFmtId="0" fontId="7" fillId="0" borderId="0" xfId="7"/>
    <xf numFmtId="0" fontId="4" fillId="3" borderId="4" xfId="4" applyBorder="1" applyAlignment="1">
      <alignment horizontal="center"/>
    </xf>
    <xf numFmtId="0" fontId="11" fillId="9" borderId="0" xfId="0" applyFont="1" applyFill="1"/>
    <xf numFmtId="0" fontId="11" fillId="10" borderId="0" xfId="0" applyFont="1" applyFill="1"/>
    <xf numFmtId="0" fontId="11" fillId="11" borderId="0" xfId="0" applyFont="1" applyFill="1"/>
    <xf numFmtId="0" fontId="3" fillId="2" borderId="4" xfId="3" applyBorder="1" applyAlignment="1">
      <alignment horizontal="center"/>
    </xf>
    <xf numFmtId="0" fontId="11" fillId="14" borderId="0" xfId="0" applyFont="1" applyFill="1"/>
    <xf numFmtId="0" fontId="0" fillId="0" borderId="7" xfId="0" applyBorder="1" applyAlignment="1">
      <alignment horizontal="center"/>
    </xf>
    <xf numFmtId="0" fontId="8" fillId="13" borderId="4" xfId="11" applyBorder="1"/>
    <xf numFmtId="0" fontId="8" fillId="12" borderId="4" xfId="10" applyBorder="1"/>
    <xf numFmtId="0" fontId="8" fillId="7" borderId="8" xfId="8" applyBorder="1"/>
    <xf numFmtId="0" fontId="6" fillId="5" borderId="10" xfId="6" applyBorder="1"/>
    <xf numFmtId="0" fontId="2" fillId="0" borderId="9" xfId="2" applyBorder="1"/>
    <xf numFmtId="0" fontId="5" fillId="4" borderId="6" xfId="5" applyBorder="1"/>
    <xf numFmtId="0" fontId="2" fillId="0" borderId="11" xfId="2" applyBorder="1"/>
    <xf numFmtId="0" fontId="3" fillId="2" borderId="12" xfId="3" applyBorder="1"/>
    <xf numFmtId="0" fontId="1" fillId="0" borderId="0" xfId="1" applyBorder="1"/>
    <xf numFmtId="0" fontId="1" fillId="0" borderId="14" xfId="1" applyBorder="1"/>
    <xf numFmtId="0" fontId="8" fillId="7" borderId="13" xfId="8" applyBorder="1"/>
    <xf numFmtId="0" fontId="2" fillId="0" borderId="12" xfId="2" applyBorder="1"/>
    <xf numFmtId="0" fontId="0" fillId="0" borderId="15" xfId="0" applyBorder="1"/>
    <xf numFmtId="0" fontId="8" fillId="7" borderId="16" xfId="8" applyBorder="1"/>
    <xf numFmtId="0" fontId="9" fillId="6" borderId="6" xfId="9" applyFill="1" applyBorder="1"/>
    <xf numFmtId="0" fontId="4" fillId="3" borderId="9" xfId="4" applyBorder="1"/>
    <xf numFmtId="0" fontId="9" fillId="8" borderId="4" xfId="9" applyFill="1" applyBorder="1"/>
    <xf numFmtId="0" fontId="3" fillId="2" borderId="9" xfId="3" applyBorder="1"/>
    <xf numFmtId="0" fontId="5" fillId="4" borderId="5" xfId="5" applyBorder="1"/>
    <xf numFmtId="0" fontId="10" fillId="0" borderId="0" xfId="1" applyFont="1" applyBorder="1" applyAlignment="1">
      <alignment horizontal="center"/>
    </xf>
    <xf numFmtId="0" fontId="1" fillId="0" borderId="0" xfId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8" fillId="16" borderId="9" xfId="10" applyFill="1" applyBorder="1"/>
    <xf numFmtId="0" fontId="8" fillId="16" borderId="11" xfId="10" applyFill="1" applyBorder="1"/>
    <xf numFmtId="0" fontId="10" fillId="15" borderId="9" xfId="1" applyFont="1" applyFill="1" applyBorder="1" applyAlignment="1">
      <alignment horizontal="center"/>
    </xf>
    <xf numFmtId="0" fontId="10" fillId="0" borderId="17" xfId="1" applyFont="1" applyBorder="1" applyAlignment="1">
      <alignment horizontal="center"/>
    </xf>
    <xf numFmtId="0" fontId="1" fillId="0" borderId="17" xfId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8" xfId="1" applyBorder="1" applyAlignment="1">
      <alignment horizontal="center"/>
    </xf>
    <xf numFmtId="0" fontId="6" fillId="5" borderId="19" xfId="6" applyBorder="1"/>
    <xf numFmtId="0" fontId="1" fillId="0" borderId="20" xfId="1" applyBorder="1" applyAlignment="1">
      <alignment horizontal="center"/>
    </xf>
    <xf numFmtId="0" fontId="8" fillId="16" borderId="20" xfId="10" applyFill="1" applyBorder="1"/>
    <xf numFmtId="0" fontId="1" fillId="0" borderId="18" xfId="1" applyBorder="1"/>
    <xf numFmtId="0" fontId="1" fillId="0" borderId="21" xfId="1" applyBorder="1" applyAlignment="1">
      <alignment horizontal="center"/>
    </xf>
    <xf numFmtId="0" fontId="10" fillId="0" borderId="9" xfId="1" applyFont="1" applyBorder="1" applyAlignment="1">
      <alignment horizontal="center"/>
    </xf>
    <xf numFmtId="0" fontId="1" fillId="0" borderId="9" xfId="1" applyBorder="1" applyAlignment="1">
      <alignment horizontal="center"/>
    </xf>
    <xf numFmtId="0" fontId="10" fillId="17" borderId="9" xfId="1" applyNumberFormat="1" applyFont="1" applyFill="1" applyBorder="1" applyAlignment="1">
      <alignment horizontal="center"/>
    </xf>
  </cellXfs>
  <cellStyles count="12">
    <cellStyle name="Accent2" xfId="10" builtinId="33"/>
    <cellStyle name="Accent5" xfId="8" builtinId="45"/>
    <cellStyle name="Accent6" xfId="11" builtinId="49"/>
    <cellStyle name="Bad" xfId="4" builtinId="27"/>
    <cellStyle name="Good" xfId="3" builtinId="26"/>
    <cellStyle name="Heading 1" xfId="1" builtinId="16"/>
    <cellStyle name="Heading 2" xfId="2" builtinId="17"/>
    <cellStyle name="Hyperlink" xfId="9" builtinId="8"/>
    <cellStyle name="Input" xfId="6" builtinId="20"/>
    <cellStyle name="Neutral" xfId="5" builtinId="28"/>
    <cellStyle name="Normal" xfId="0" builtinId="0"/>
    <cellStyle name="Warning Text" xfId="7" builtinId="11"/>
  </cellStyles>
  <dxfs count="56"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F0"/>
        </patternFill>
      </fill>
    </dxf>
    <dxf>
      <font>
        <b/>
        <i val="0"/>
        <color theme="1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d-2604.atlassian.net/jira/software/projects/SCRUM/summary" TargetMode="External"/><Relationship Id="rId1" Type="http://schemas.openxmlformats.org/officeDocument/2006/relationships/hyperlink" Target="https://github.com/FSProjectPortfolioV/Red-260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18"/>
  <sheetViews>
    <sheetView tabSelected="1" zoomScale="115" zoomScaleNormal="115" workbookViewId="0">
      <selection activeCell="F7" sqref="F7"/>
    </sheetView>
  </sheetViews>
  <sheetFormatPr defaultRowHeight="14.4" x14ac:dyDescent="0.3"/>
  <cols>
    <col min="1" max="3" width="50.6640625" customWidth="1"/>
  </cols>
  <sheetData>
    <row r="1" spans="1:3" ht="19.8" x14ac:dyDescent="0.4">
      <c r="A1" s="19" t="s">
        <v>0</v>
      </c>
      <c r="B1" s="19" t="s">
        <v>1</v>
      </c>
      <c r="C1" s="20" t="s">
        <v>2</v>
      </c>
    </row>
    <row r="2" spans="1:3" x14ac:dyDescent="0.3">
      <c r="A2" s="29" t="s">
        <v>97</v>
      </c>
      <c r="B2" s="28" t="s">
        <v>3</v>
      </c>
      <c r="C2" s="21" t="s">
        <v>98</v>
      </c>
    </row>
    <row r="3" spans="1:3" x14ac:dyDescent="0.3">
      <c r="C3" s="13" t="s">
        <v>99</v>
      </c>
    </row>
    <row r="4" spans="1:3" x14ac:dyDescent="0.3">
      <c r="C4" s="13" t="s">
        <v>100</v>
      </c>
    </row>
    <row r="5" spans="1:3" x14ac:dyDescent="0.3">
      <c r="C5" s="13" t="s">
        <v>101</v>
      </c>
    </row>
    <row r="6" spans="1:3" x14ac:dyDescent="0.3">
      <c r="C6" s="13" t="s">
        <v>102</v>
      </c>
    </row>
    <row r="7" spans="1:3" x14ac:dyDescent="0.3">
      <c r="C7" s="24"/>
    </row>
    <row r="8" spans="1:3" x14ac:dyDescent="0.3">
      <c r="C8" s="23"/>
    </row>
    <row r="9" spans="1:3" ht="17.399999999999999" x14ac:dyDescent="0.35">
      <c r="A9" s="17" t="s">
        <v>4</v>
      </c>
      <c r="B9" s="17" t="s">
        <v>29</v>
      </c>
      <c r="C9" s="22" t="s">
        <v>5</v>
      </c>
    </row>
    <row r="10" spans="1:3" x14ac:dyDescent="0.3">
      <c r="A10" s="18"/>
      <c r="B10" s="16" t="s">
        <v>94</v>
      </c>
      <c r="C10" s="14"/>
    </row>
    <row r="11" spans="1:3" x14ac:dyDescent="0.3">
      <c r="C11" s="1"/>
    </row>
    <row r="12" spans="1:3" x14ac:dyDescent="0.3">
      <c r="C12" s="1"/>
    </row>
    <row r="13" spans="1:3" x14ac:dyDescent="0.3">
      <c r="C13" s="1"/>
    </row>
    <row r="14" spans="1:3" x14ac:dyDescent="0.3">
      <c r="C14" s="1"/>
    </row>
    <row r="15" spans="1:3" x14ac:dyDescent="0.3">
      <c r="C15" s="1"/>
    </row>
    <row r="17" spans="1:3" ht="17.399999999999999" x14ac:dyDescent="0.35">
      <c r="A17" s="17" t="s">
        <v>6</v>
      </c>
      <c r="B17" s="17" t="s">
        <v>7</v>
      </c>
      <c r="C17" s="15" t="s">
        <v>8</v>
      </c>
    </row>
    <row r="18" spans="1:3" x14ac:dyDescent="0.3">
      <c r="A18" s="25" t="s">
        <v>95</v>
      </c>
      <c r="B18" s="27" t="s">
        <v>96</v>
      </c>
      <c r="C18" s="26" t="s">
        <v>9</v>
      </c>
    </row>
  </sheetData>
  <hyperlinks>
    <hyperlink ref="A18" r:id="rId1" xr:uid="{37BD4515-E24F-405C-8F09-512127A2A6F4}"/>
    <hyperlink ref="B18" r:id="rId2" xr:uid="{35DED08F-8126-4867-A9A2-1A1D909A4A96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0730-B5D0-49E5-8631-8CC13B9FE765}">
  <sheetPr codeName="Sheet3"/>
  <dimension ref="A1:G82"/>
  <sheetViews>
    <sheetView topLeftCell="A12" zoomScaleNormal="100" workbookViewId="0">
      <selection activeCell="J24" sqref="J24"/>
    </sheetView>
  </sheetViews>
  <sheetFormatPr defaultRowHeight="14.4" x14ac:dyDescent="0.3"/>
  <cols>
    <col min="1" max="1" width="83.44140625" customWidth="1"/>
    <col min="2" max="3" width="18.6640625" bestFit="1" customWidth="1"/>
    <col min="4" max="4" width="9.109375" customWidth="1"/>
    <col min="5" max="7" width="9.109375" hidden="1" customWidth="1"/>
    <col min="11" max="13" width="9.109375" customWidth="1"/>
  </cols>
  <sheetData>
    <row r="1" spans="1:7" ht="23.4" x14ac:dyDescent="0.45">
      <c r="A1" s="30" t="s">
        <v>36</v>
      </c>
      <c r="B1" s="31" t="s">
        <v>37</v>
      </c>
      <c r="C1" s="31" t="s">
        <v>40</v>
      </c>
    </row>
    <row r="2" spans="1:7" x14ac:dyDescent="0.3">
      <c r="A2" s="34" t="s">
        <v>76</v>
      </c>
      <c r="B2" s="34"/>
      <c r="C2" s="33"/>
      <c r="E2" s="5" t="s">
        <v>10</v>
      </c>
      <c r="F2" s="5" t="s">
        <v>20</v>
      </c>
      <c r="G2" s="5" t="s">
        <v>10</v>
      </c>
    </row>
    <row r="3" spans="1:7" x14ac:dyDescent="0.3">
      <c r="A3" s="12" t="s">
        <v>71</v>
      </c>
      <c r="B3" s="10" t="s">
        <v>11</v>
      </c>
      <c r="C3" s="4">
        <v>5</v>
      </c>
      <c r="E3" s="6" t="s">
        <v>12</v>
      </c>
      <c r="F3" s="9" t="s">
        <v>16</v>
      </c>
      <c r="G3" s="7" t="s">
        <v>11</v>
      </c>
    </row>
    <row r="4" spans="1:7" x14ac:dyDescent="0.3">
      <c r="A4" s="12" t="s">
        <v>74</v>
      </c>
      <c r="B4" s="10" t="s">
        <v>11</v>
      </c>
      <c r="C4" s="4">
        <v>2</v>
      </c>
      <c r="E4" s="7" t="s">
        <v>11</v>
      </c>
      <c r="F4" s="6" t="s">
        <v>17</v>
      </c>
    </row>
    <row r="5" spans="1:7" x14ac:dyDescent="0.3">
      <c r="A5" s="12" t="s">
        <v>75</v>
      </c>
      <c r="B5" s="10" t="s">
        <v>11</v>
      </c>
      <c r="C5" s="4">
        <v>2</v>
      </c>
    </row>
    <row r="6" spans="1:7" x14ac:dyDescent="0.3">
      <c r="A6" s="12" t="s">
        <v>82</v>
      </c>
      <c r="B6" s="10" t="s">
        <v>11</v>
      </c>
      <c r="C6" s="4">
        <v>2</v>
      </c>
    </row>
    <row r="7" spans="1:7" x14ac:dyDescent="0.3">
      <c r="A7" s="34" t="s">
        <v>85</v>
      </c>
      <c r="B7" s="34"/>
      <c r="C7" s="33"/>
    </row>
    <row r="8" spans="1:7" x14ac:dyDescent="0.3">
      <c r="A8" s="12" t="s">
        <v>70</v>
      </c>
      <c r="B8" s="10" t="s">
        <v>11</v>
      </c>
      <c r="C8" s="4">
        <v>4</v>
      </c>
    </row>
    <row r="9" spans="1:7" x14ac:dyDescent="0.3">
      <c r="A9" s="12" t="s">
        <v>88</v>
      </c>
      <c r="B9" s="10" t="s">
        <v>11</v>
      </c>
      <c r="C9" s="4">
        <v>4</v>
      </c>
    </row>
    <row r="10" spans="1:7" x14ac:dyDescent="0.3">
      <c r="A10" s="12" t="s">
        <v>87</v>
      </c>
      <c r="B10" s="10" t="s">
        <v>11</v>
      </c>
      <c r="C10" s="4">
        <v>3</v>
      </c>
    </row>
    <row r="11" spans="1:7" x14ac:dyDescent="0.3">
      <c r="A11" s="12" t="s">
        <v>86</v>
      </c>
      <c r="B11" s="10" t="s">
        <v>11</v>
      </c>
      <c r="C11" s="4">
        <v>3</v>
      </c>
    </row>
    <row r="12" spans="1:7" x14ac:dyDescent="0.3">
      <c r="A12" s="12" t="s">
        <v>89</v>
      </c>
      <c r="B12" s="10" t="s">
        <v>11</v>
      </c>
      <c r="C12" s="4">
        <v>3</v>
      </c>
    </row>
    <row r="13" spans="1:7" x14ac:dyDescent="0.3">
      <c r="A13" s="12" t="s">
        <v>35</v>
      </c>
      <c r="B13" s="10" t="s">
        <v>11</v>
      </c>
      <c r="C13" s="4">
        <v>3</v>
      </c>
    </row>
    <row r="14" spans="1:7" x14ac:dyDescent="0.3">
      <c r="A14" s="12" t="s">
        <v>34</v>
      </c>
      <c r="B14" s="10" t="s">
        <v>11</v>
      </c>
      <c r="C14" s="4">
        <v>2</v>
      </c>
    </row>
    <row r="15" spans="1:7" x14ac:dyDescent="0.3">
      <c r="A15" s="12" t="s">
        <v>27</v>
      </c>
      <c r="B15" s="10" t="s">
        <v>11</v>
      </c>
      <c r="C15" s="4">
        <v>2</v>
      </c>
    </row>
    <row r="16" spans="1:7" x14ac:dyDescent="0.3">
      <c r="A16" s="34" t="s">
        <v>44</v>
      </c>
      <c r="B16" s="34"/>
      <c r="C16" s="33"/>
    </row>
    <row r="17" spans="1:3" x14ac:dyDescent="0.3">
      <c r="A17" s="12" t="s">
        <v>83</v>
      </c>
      <c r="B17" s="10" t="s">
        <v>11</v>
      </c>
      <c r="C17" s="4">
        <v>5</v>
      </c>
    </row>
    <row r="18" spans="1:3" x14ac:dyDescent="0.3">
      <c r="A18" s="12" t="s">
        <v>49</v>
      </c>
      <c r="B18" s="10" t="s">
        <v>11</v>
      </c>
      <c r="C18" s="4">
        <v>4</v>
      </c>
    </row>
    <row r="19" spans="1:3" x14ac:dyDescent="0.3">
      <c r="A19" s="12" t="s">
        <v>50</v>
      </c>
      <c r="B19" s="10" t="s">
        <v>11</v>
      </c>
      <c r="C19" s="4">
        <v>4</v>
      </c>
    </row>
    <row r="20" spans="1:3" x14ac:dyDescent="0.3">
      <c r="A20" s="12" t="s">
        <v>93</v>
      </c>
      <c r="B20" s="10" t="s">
        <v>11</v>
      </c>
      <c r="C20" s="4">
        <v>4</v>
      </c>
    </row>
    <row r="21" spans="1:3" x14ac:dyDescent="0.3">
      <c r="A21" s="12" t="s">
        <v>92</v>
      </c>
      <c r="B21" s="10" t="s">
        <v>11</v>
      </c>
      <c r="C21" s="4">
        <v>4</v>
      </c>
    </row>
    <row r="22" spans="1:3" x14ac:dyDescent="0.3">
      <c r="A22" s="12" t="s">
        <v>45</v>
      </c>
      <c r="B22" s="10" t="s">
        <v>11</v>
      </c>
      <c r="C22" s="4">
        <v>4</v>
      </c>
    </row>
    <row r="23" spans="1:3" x14ac:dyDescent="0.3">
      <c r="A23" s="12" t="s">
        <v>47</v>
      </c>
      <c r="B23" s="10" t="s">
        <v>11</v>
      </c>
      <c r="C23" s="4">
        <v>4</v>
      </c>
    </row>
    <row r="24" spans="1:3" x14ac:dyDescent="0.3">
      <c r="A24" s="12" t="s">
        <v>42</v>
      </c>
      <c r="B24" s="10" t="s">
        <v>11</v>
      </c>
      <c r="C24" s="4">
        <v>3</v>
      </c>
    </row>
    <row r="25" spans="1:3" x14ac:dyDescent="0.3">
      <c r="A25" s="12" t="s">
        <v>43</v>
      </c>
      <c r="B25" s="10" t="s">
        <v>11</v>
      </c>
      <c r="C25" s="4">
        <v>3</v>
      </c>
    </row>
    <row r="26" spans="1:3" x14ac:dyDescent="0.3">
      <c r="A26" s="12" t="s">
        <v>46</v>
      </c>
      <c r="B26" s="10" t="s">
        <v>11</v>
      </c>
      <c r="C26" s="4">
        <v>3</v>
      </c>
    </row>
    <row r="27" spans="1:3" x14ac:dyDescent="0.3">
      <c r="A27" s="12" t="s">
        <v>48</v>
      </c>
      <c r="B27" s="10" t="s">
        <v>11</v>
      </c>
      <c r="C27" s="4">
        <v>3</v>
      </c>
    </row>
    <row r="28" spans="1:3" x14ac:dyDescent="0.3">
      <c r="A28" s="12" t="s">
        <v>39</v>
      </c>
      <c r="B28" s="10" t="s">
        <v>11</v>
      </c>
      <c r="C28" s="4">
        <v>3</v>
      </c>
    </row>
    <row r="29" spans="1:3" x14ac:dyDescent="0.3">
      <c r="A29" s="12" t="s">
        <v>90</v>
      </c>
      <c r="B29" s="10" t="s">
        <v>11</v>
      </c>
      <c r="C29" s="4">
        <v>2</v>
      </c>
    </row>
    <row r="30" spans="1:3" x14ac:dyDescent="0.3">
      <c r="A30" s="34" t="s">
        <v>67</v>
      </c>
      <c r="B30" s="34"/>
      <c r="C30" s="33"/>
    </row>
    <row r="31" spans="1:3" x14ac:dyDescent="0.3">
      <c r="A31" s="12" t="s">
        <v>72</v>
      </c>
      <c r="B31" s="10" t="s">
        <v>11</v>
      </c>
      <c r="C31" s="4">
        <v>5</v>
      </c>
    </row>
    <row r="32" spans="1:3" x14ac:dyDescent="0.3">
      <c r="A32" s="12" t="s">
        <v>78</v>
      </c>
      <c r="B32" s="10" t="s">
        <v>11</v>
      </c>
      <c r="C32" s="4">
        <v>4</v>
      </c>
    </row>
    <row r="33" spans="1:3" x14ac:dyDescent="0.3">
      <c r="A33" s="12" t="s">
        <v>77</v>
      </c>
      <c r="B33" s="10" t="s">
        <v>11</v>
      </c>
      <c r="C33" s="4">
        <v>2</v>
      </c>
    </row>
    <row r="34" spans="1:3" x14ac:dyDescent="0.3">
      <c r="A34" s="34" t="s">
        <v>80</v>
      </c>
      <c r="B34" s="34"/>
      <c r="C34" s="33"/>
    </row>
    <row r="35" spans="1:3" x14ac:dyDescent="0.3">
      <c r="A35" s="12" t="s">
        <v>81</v>
      </c>
      <c r="B35" s="10" t="s">
        <v>11</v>
      </c>
      <c r="C35" s="4">
        <v>4</v>
      </c>
    </row>
    <row r="36" spans="1:3" x14ac:dyDescent="0.3">
      <c r="A36" s="12" t="s">
        <v>73</v>
      </c>
      <c r="B36" s="10" t="s">
        <v>11</v>
      </c>
      <c r="C36" s="4">
        <v>4</v>
      </c>
    </row>
    <row r="37" spans="1:3" ht="23.4" x14ac:dyDescent="0.45">
      <c r="A37" s="32" t="s">
        <v>41</v>
      </c>
      <c r="B37" s="32">
        <f>SUMPRODUCT(SUMIF($B$3:$B$36,$E$2,$C$3:$C$36))+SUMPRODUCT(SUMIF($B$3:$B$36,$E$3,$C$3:$C$36))*0.5</f>
        <v>0</v>
      </c>
      <c r="C37" s="47">
        <f>SUMPRODUCT(SUMIF($B$3:$B$37,$E$4,$C$3:$C$37))+SUMPRODUCT(SUMIF($B$3:$B$37,$E$3,$C$3:$C$37))*0.5</f>
        <v>100</v>
      </c>
    </row>
    <row r="38" spans="1:3" x14ac:dyDescent="0.3">
      <c r="A38" s="3"/>
      <c r="B38" s="2"/>
      <c r="C38" s="2"/>
    </row>
    <row r="39" spans="1:3" x14ac:dyDescent="0.3">
      <c r="B39" s="2"/>
      <c r="C39" s="2"/>
    </row>
    <row r="40" spans="1:3" ht="23.4" x14ac:dyDescent="0.45">
      <c r="A40" s="36" t="s">
        <v>51</v>
      </c>
      <c r="B40" s="37" t="s">
        <v>20</v>
      </c>
      <c r="C40" s="39" t="s">
        <v>52</v>
      </c>
    </row>
    <row r="41" spans="1:3" x14ac:dyDescent="0.3">
      <c r="A41" s="11" t="s">
        <v>28</v>
      </c>
      <c r="B41" s="10" t="s">
        <v>17</v>
      </c>
      <c r="C41" s="8">
        <v>2</v>
      </c>
    </row>
    <row r="42" spans="1:3" x14ac:dyDescent="0.3">
      <c r="A42" s="11" t="s">
        <v>60</v>
      </c>
      <c r="B42" s="10" t="s">
        <v>17</v>
      </c>
      <c r="C42" s="8">
        <v>2</v>
      </c>
    </row>
    <row r="43" spans="1:3" x14ac:dyDescent="0.3">
      <c r="A43" s="11" t="s">
        <v>65</v>
      </c>
      <c r="B43" s="10" t="s">
        <v>17</v>
      </c>
      <c r="C43" s="8">
        <v>2</v>
      </c>
    </row>
    <row r="44" spans="1:3" x14ac:dyDescent="0.3">
      <c r="A44" s="11" t="s">
        <v>69</v>
      </c>
      <c r="B44" s="10" t="s">
        <v>17</v>
      </c>
      <c r="C44" s="8">
        <v>3</v>
      </c>
    </row>
    <row r="45" spans="1:3" x14ac:dyDescent="0.3">
      <c r="A45" s="11" t="s">
        <v>22</v>
      </c>
      <c r="B45" s="10" t="s">
        <v>17</v>
      </c>
      <c r="C45" s="8">
        <v>3</v>
      </c>
    </row>
    <row r="46" spans="1:3" x14ac:dyDescent="0.3">
      <c r="A46" s="11" t="s">
        <v>13</v>
      </c>
      <c r="B46" s="10" t="s">
        <v>17</v>
      </c>
      <c r="C46" s="8">
        <v>3</v>
      </c>
    </row>
    <row r="47" spans="1:3" ht="23.4" x14ac:dyDescent="0.45">
      <c r="A47" s="32" t="s">
        <v>63</v>
      </c>
      <c r="B47" s="32">
        <f>$B$37+SUMPRODUCT(SUMIF($B$41:$B$46,$F$2,$C$41:$C$46))+SUMPRODUCT(SUMIF($B$41:$B$46,$F$3,$C$41:$C$46))*0.5</f>
        <v>0</v>
      </c>
      <c r="C47" s="35">
        <f>SUMPRODUCT(SUMIF($B$41:$B$46,$K$3,$C$41:$C$46))</f>
        <v>0</v>
      </c>
    </row>
    <row r="50" spans="1:2" ht="23.4" x14ac:dyDescent="0.45">
      <c r="A50" s="36" t="s">
        <v>64</v>
      </c>
      <c r="B50" s="46"/>
    </row>
    <row r="51" spans="1:2" x14ac:dyDescent="0.3">
      <c r="A51" s="12" t="s">
        <v>30</v>
      </c>
      <c r="B51" s="10" t="s">
        <v>10</v>
      </c>
    </row>
    <row r="52" spans="1:2" x14ac:dyDescent="0.3">
      <c r="A52" s="12" t="s">
        <v>31</v>
      </c>
      <c r="B52" s="10" t="s">
        <v>10</v>
      </c>
    </row>
    <row r="53" spans="1:2" x14ac:dyDescent="0.3">
      <c r="A53" s="12" t="s">
        <v>38</v>
      </c>
      <c r="B53" s="10" t="s">
        <v>10</v>
      </c>
    </row>
    <row r="54" spans="1:2" x14ac:dyDescent="0.3">
      <c r="A54" s="12" t="s">
        <v>33</v>
      </c>
      <c r="B54" s="10" t="s">
        <v>10</v>
      </c>
    </row>
    <row r="55" spans="1:2" x14ac:dyDescent="0.3">
      <c r="A55" s="12" t="s">
        <v>91</v>
      </c>
      <c r="B55" s="10" t="s">
        <v>10</v>
      </c>
    </row>
    <row r="56" spans="1:2" x14ac:dyDescent="0.3">
      <c r="A56" s="12" t="s">
        <v>79</v>
      </c>
      <c r="B56" s="10" t="s">
        <v>10</v>
      </c>
    </row>
    <row r="57" spans="1:2" x14ac:dyDescent="0.3">
      <c r="A57" s="12" t="s">
        <v>84</v>
      </c>
      <c r="B57" s="10" t="s">
        <v>10</v>
      </c>
    </row>
    <row r="58" spans="1:2" x14ac:dyDescent="0.3">
      <c r="A58" s="12" t="s">
        <v>66</v>
      </c>
      <c r="B58" s="10" t="s">
        <v>10</v>
      </c>
    </row>
    <row r="59" spans="1:2" ht="23.4" x14ac:dyDescent="0.45">
      <c r="A59" s="32" t="s">
        <v>68</v>
      </c>
      <c r="B59" s="45">
        <f>IF(COUNTIF($B$51:$B$58,$G$3), 0, $B$47)</f>
        <v>0</v>
      </c>
    </row>
    <row r="62" spans="1:2" ht="23.4" x14ac:dyDescent="0.45">
      <c r="A62" s="36" t="s">
        <v>55</v>
      </c>
      <c r="B62" s="41" t="s">
        <v>20</v>
      </c>
    </row>
    <row r="63" spans="1:2" x14ac:dyDescent="0.3">
      <c r="A63" s="34" t="s">
        <v>53</v>
      </c>
      <c r="B63" s="42"/>
    </row>
    <row r="64" spans="1:2" x14ac:dyDescent="0.3">
      <c r="A64" s="11" t="s">
        <v>61</v>
      </c>
      <c r="B64" s="10" t="s">
        <v>17</v>
      </c>
    </row>
    <row r="65" spans="1:2" x14ac:dyDescent="0.3">
      <c r="A65" s="11" t="s">
        <v>15</v>
      </c>
      <c r="B65" s="10" t="s">
        <v>17</v>
      </c>
    </row>
    <row r="66" spans="1:2" x14ac:dyDescent="0.3">
      <c r="A66" s="11" t="s">
        <v>62</v>
      </c>
      <c r="B66" s="10" t="s">
        <v>17</v>
      </c>
    </row>
    <row r="67" spans="1:2" x14ac:dyDescent="0.3">
      <c r="A67" s="11" t="s">
        <v>32</v>
      </c>
      <c r="B67" s="10" t="s">
        <v>17</v>
      </c>
    </row>
    <row r="68" spans="1:2" x14ac:dyDescent="0.3">
      <c r="A68" s="34" t="s">
        <v>56</v>
      </c>
      <c r="B68" s="42"/>
    </row>
    <row r="69" spans="1:2" x14ac:dyDescent="0.3">
      <c r="A69" s="11" t="s">
        <v>57</v>
      </c>
      <c r="B69" s="10" t="s">
        <v>17</v>
      </c>
    </row>
    <row r="70" spans="1:2" x14ac:dyDescent="0.3">
      <c r="A70" s="11" t="s">
        <v>58</v>
      </c>
      <c r="B70" s="10" t="s">
        <v>17</v>
      </c>
    </row>
    <row r="71" spans="1:2" x14ac:dyDescent="0.3">
      <c r="A71" s="11" t="s">
        <v>21</v>
      </c>
      <c r="B71" s="10" t="s">
        <v>17</v>
      </c>
    </row>
    <row r="72" spans="1:2" x14ac:dyDescent="0.3">
      <c r="A72" s="34" t="s">
        <v>54</v>
      </c>
      <c r="B72" s="42"/>
    </row>
    <row r="73" spans="1:2" x14ac:dyDescent="0.3">
      <c r="A73" s="11" t="s">
        <v>14</v>
      </c>
      <c r="B73" s="10" t="s">
        <v>17</v>
      </c>
    </row>
    <row r="74" spans="1:2" x14ac:dyDescent="0.3">
      <c r="A74" s="11" t="s">
        <v>19</v>
      </c>
      <c r="B74" s="10" t="s">
        <v>17</v>
      </c>
    </row>
    <row r="75" spans="1:2" x14ac:dyDescent="0.3">
      <c r="A75" s="11" t="s">
        <v>18</v>
      </c>
      <c r="B75" s="10" t="s">
        <v>17</v>
      </c>
    </row>
    <row r="76" spans="1:2" x14ac:dyDescent="0.3">
      <c r="A76" s="11" t="s">
        <v>59</v>
      </c>
      <c r="B76" s="10" t="s">
        <v>17</v>
      </c>
    </row>
    <row r="79" spans="1:2" ht="19.8" x14ac:dyDescent="0.4">
      <c r="A79" s="44" t="s">
        <v>23</v>
      </c>
      <c r="B79" s="43"/>
    </row>
    <row r="80" spans="1:2" x14ac:dyDescent="0.3">
      <c r="A80" s="40" t="s">
        <v>26</v>
      </c>
      <c r="B80" s="10" t="s">
        <v>17</v>
      </c>
    </row>
    <row r="81" spans="1:2" x14ac:dyDescent="0.3">
      <c r="A81" s="40" t="s">
        <v>25</v>
      </c>
      <c r="B81" s="10" t="s">
        <v>17</v>
      </c>
    </row>
    <row r="82" spans="1:2" x14ac:dyDescent="0.3">
      <c r="A82" s="40" t="s">
        <v>24</v>
      </c>
      <c r="B82" s="38" t="s">
        <v>17</v>
      </c>
    </row>
  </sheetData>
  <sortState xmlns:xlrd2="http://schemas.microsoft.com/office/spreadsheetml/2017/richdata2" ref="A47:C47">
    <sortCondition ref="C47"/>
  </sortState>
  <conditionalFormatting sqref="B3">
    <cfRule type="cellIs" dxfId="55" priority="55" operator="equal">
      <formula>"It’s a Problem"</formula>
    </cfRule>
    <cfRule type="cellIs" dxfId="54" priority="54" operator="equal">
      <formula>"Its a Problem"</formula>
    </cfRule>
  </conditionalFormatting>
  <conditionalFormatting sqref="B3:B6 B8:B12 B17:B29">
    <cfRule type="cellIs" dxfId="53" priority="56" operator="equal">
      <formula>"$E$2:$E$4"</formula>
    </cfRule>
  </conditionalFormatting>
  <conditionalFormatting sqref="B3:B6 B8:B15 B17:B29 B32:B33 B51:B58">
    <cfRule type="cellIs" dxfId="52" priority="64" operator="equal">
      <formula>$K$1</formula>
    </cfRule>
    <cfRule type="cellIs" dxfId="51" priority="63" operator="equal">
      <formula>#REF!</formula>
    </cfRule>
    <cfRule type="cellIs" dxfId="50" priority="62" operator="equal">
      <formula>$K$2</formula>
    </cfRule>
    <cfRule type="cellIs" dxfId="49" priority="61" operator="equal">
      <formula>$K$3</formula>
    </cfRule>
  </conditionalFormatting>
  <conditionalFormatting sqref="B3:B36">
    <cfRule type="cellIs" dxfId="48" priority="50" operator="equal">
      <formula>"Not An Issue"</formula>
    </cfRule>
    <cfRule type="cellIs" dxfId="47" priority="51" operator="equal">
      <formula>"Kinda Works"</formula>
    </cfRule>
  </conditionalFormatting>
  <conditionalFormatting sqref="B10">
    <cfRule type="cellIs" dxfId="46" priority="11" operator="equal">
      <formula>"Its a Problem"</formula>
    </cfRule>
    <cfRule type="cellIs" dxfId="45" priority="12" operator="equal">
      <formula>"Its a Problem"</formula>
    </cfRule>
    <cfRule type="cellIs" dxfId="44" priority="13" operator="equal">
      <formula>"It’s a Problem"</formula>
    </cfRule>
  </conditionalFormatting>
  <conditionalFormatting sqref="B17">
    <cfRule type="cellIs" dxfId="43" priority="4" operator="equal">
      <formula>"Its a Problem"</formula>
    </cfRule>
    <cfRule type="cellIs" dxfId="42" priority="5" operator="equal">
      <formula>"Its a Problem"</formula>
    </cfRule>
    <cfRule type="cellIs" dxfId="41" priority="6" operator="equal">
      <formula>"It’s a Problem"</formula>
    </cfRule>
  </conditionalFormatting>
  <conditionalFormatting sqref="B19">
    <cfRule type="cellIs" dxfId="40" priority="2" operator="equal">
      <formula>"Its a Problem"</formula>
    </cfRule>
    <cfRule type="cellIs" dxfId="39" priority="3" operator="equal">
      <formula>"It’s a Problem"</formula>
    </cfRule>
    <cfRule type="cellIs" dxfId="38" priority="1" operator="equal">
      <formula>"Its a Problem"</formula>
    </cfRule>
  </conditionalFormatting>
  <conditionalFormatting sqref="B22">
    <cfRule type="cellIs" dxfId="37" priority="9" operator="equal">
      <formula>"It’s a Problem"</formula>
    </cfRule>
    <cfRule type="cellIs" dxfId="36" priority="8" operator="equal">
      <formula>"Its a Problem"</formula>
    </cfRule>
    <cfRule type="cellIs" dxfId="35" priority="7" operator="equal">
      <formula>"Its a Problem"</formula>
    </cfRule>
  </conditionalFormatting>
  <conditionalFormatting sqref="B31">
    <cfRule type="cellIs" dxfId="34" priority="22" operator="equal">
      <formula>"$E$2:$E$4"</formula>
    </cfRule>
    <cfRule type="cellIs" dxfId="33" priority="23" operator="equal">
      <formula>$K$3</formula>
    </cfRule>
    <cfRule type="cellIs" dxfId="32" priority="24" operator="equal">
      <formula>$K$2</formula>
    </cfRule>
    <cfRule type="cellIs" dxfId="31" priority="25" operator="equal">
      <formula>#REF!</formula>
    </cfRule>
    <cfRule type="cellIs" dxfId="30" priority="26" operator="equal">
      <formula>$K$1</formula>
    </cfRule>
  </conditionalFormatting>
  <conditionalFormatting sqref="B35:B36">
    <cfRule type="cellIs" dxfId="29" priority="20" operator="equal">
      <formula>#REF!</formula>
    </cfRule>
    <cfRule type="cellIs" dxfId="28" priority="21" operator="equal">
      <formula>$K$1</formula>
    </cfRule>
    <cfRule type="cellIs" dxfId="27" priority="18" operator="equal">
      <formula>$K$3</formula>
    </cfRule>
    <cfRule type="cellIs" dxfId="26" priority="17" operator="equal">
      <formula>"$E$2:$E$4"</formula>
    </cfRule>
    <cfRule type="cellIs" dxfId="25" priority="16" operator="equal">
      <formula>"It’s a Problem"</formula>
    </cfRule>
    <cfRule type="cellIs" dxfId="24" priority="15" operator="equal">
      <formula>"Its a Problem"</formula>
    </cfRule>
    <cfRule type="cellIs" dxfId="23" priority="14" operator="equal">
      <formula>"Its a Problem"</formula>
    </cfRule>
    <cfRule type="cellIs" dxfId="22" priority="19" operator="equal">
      <formula>$K$2</formula>
    </cfRule>
  </conditionalFormatting>
  <conditionalFormatting sqref="B41:B46 B64:B67 B69:B71 B73:B76">
    <cfRule type="cellIs" dxfId="21" priority="76" operator="equal">
      <formula>$L$1</formula>
    </cfRule>
    <cfRule type="cellIs" dxfId="20" priority="73" operator="equal">
      <formula>$L$3</formula>
    </cfRule>
    <cfRule type="cellIs" dxfId="19" priority="74" operator="equal">
      <formula>$L$2</formula>
    </cfRule>
    <cfRule type="cellIs" dxfId="18" priority="75" operator="equal">
      <formula>#REF!</formula>
    </cfRule>
  </conditionalFormatting>
  <conditionalFormatting sqref="B41:B46 B64:B67">
    <cfRule type="cellIs" dxfId="17" priority="42" operator="equal">
      <formula>"Not Supported"</formula>
    </cfRule>
  </conditionalFormatting>
  <conditionalFormatting sqref="B41:B46">
    <cfRule type="cellIs" dxfId="16" priority="29" operator="equal">
      <formula>"Partially"</formula>
    </cfRule>
    <cfRule type="cellIs" dxfId="15" priority="28" operator="equal">
      <formula>"Partially"</formula>
    </cfRule>
    <cfRule type="cellIs" dxfId="14" priority="27" operator="equal">
      <formula>"Supported"</formula>
    </cfRule>
  </conditionalFormatting>
  <conditionalFormatting sqref="B51:B58">
    <cfRule type="cellIs" dxfId="13" priority="45" operator="equal">
      <formula>"Its a Problem"</formula>
    </cfRule>
    <cfRule type="cellIs" dxfId="12" priority="47" operator="equal">
      <formula>"Its a Problem"</formula>
    </cfRule>
    <cfRule type="cellIs" dxfId="11" priority="48" operator="equal">
      <formula>"It’s a Problem"</formula>
    </cfRule>
    <cfRule type="cellIs" dxfId="10" priority="43" operator="equal">
      <formula>"Not An Issue"</formula>
    </cfRule>
    <cfRule type="cellIs" dxfId="9" priority="44" operator="equal">
      <formula>"Kinda Works"</formula>
    </cfRule>
    <cfRule type="cellIs" dxfId="8" priority="49" operator="equal">
      <formula>"$E$2:$E$4"</formula>
    </cfRule>
  </conditionalFormatting>
  <conditionalFormatting sqref="B57 B3:B36">
    <cfRule type="cellIs" dxfId="7" priority="52" operator="equal">
      <formula>"Its a Problem"</formula>
    </cfRule>
  </conditionalFormatting>
  <conditionalFormatting sqref="B69:B71">
    <cfRule type="cellIs" dxfId="6" priority="40" operator="equal">
      <formula>"Not Supported"</formula>
    </cfRule>
  </conditionalFormatting>
  <conditionalFormatting sqref="B73:B76">
    <cfRule type="cellIs" dxfId="5" priority="39" operator="equal">
      <formula>"Not Supported"</formula>
    </cfRule>
  </conditionalFormatting>
  <conditionalFormatting sqref="B80:B82">
    <cfRule type="cellIs" dxfId="4" priority="35" operator="equal">
      <formula>$L$3</formula>
    </cfRule>
    <cfRule type="cellIs" dxfId="3" priority="36" operator="equal">
      <formula>$L$2</formula>
    </cfRule>
    <cfRule type="cellIs" dxfId="2" priority="37" operator="equal">
      <formula>#REF!</formula>
    </cfRule>
    <cfRule type="cellIs" dxfId="1" priority="38" operator="equal">
      <formula>$L$1</formula>
    </cfRule>
    <cfRule type="cellIs" dxfId="0" priority="34" operator="equal">
      <formula>"Not Supported"</formula>
    </cfRule>
  </conditionalFormatting>
  <dataValidations count="3">
    <dataValidation type="list" allowBlank="1" showInputMessage="1" showErrorMessage="1" sqref="B51:B58" xr:uid="{9F33BC5B-4D28-48F3-9406-2EE018817DF4}">
      <formula1>$G$2:$G$3</formula1>
    </dataValidation>
    <dataValidation type="list" allowBlank="1" showInputMessage="1" showErrorMessage="1" sqref="B80:B82 B64:B67 B73:B76 B69:B71 B41:B46" xr:uid="{3C159EF0-D0F5-4223-AD61-F526FDAE00EA}">
      <formula1>$F$2:$F$4</formula1>
    </dataValidation>
    <dataValidation type="list" allowBlank="1" showInputMessage="1" showErrorMessage="1" sqref="B35:B36 B31:B33 B3:B6 B8:B15 B17:B29" xr:uid="{3DEF72B4-35F4-458B-8803-4169C25710D2}">
      <formula1>$E$2:$E$4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Info</vt:lpstr>
      <vt:lpstr>Game Score Rating Rubric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Norri, Lari</dc:creator>
  <cp:keywords/>
  <dc:description/>
  <cp:lastModifiedBy>Jarret Olsen</cp:lastModifiedBy>
  <cp:revision/>
  <dcterms:created xsi:type="dcterms:W3CDTF">2015-06-05T18:17:20Z</dcterms:created>
  <dcterms:modified xsi:type="dcterms:W3CDTF">2026-04-09T20:09:34Z</dcterms:modified>
  <cp:category/>
  <cp:contentStatus/>
</cp:coreProperties>
</file>